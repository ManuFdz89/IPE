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os 2\FP-DAW\FP\IPE - Itinerario personal empleabilidad\IPE\"/>
    </mc:Choice>
  </mc:AlternateContent>
  <xr:revisionPtr revIDLastSave="0" documentId="13_ncr:1_{BF3029AC-2390-425B-AC5B-BB9E9242712D}" xr6:coauthVersionLast="47" xr6:coauthVersionMax="47" xr10:uidLastSave="{00000000-0000-0000-0000-000000000000}"/>
  <bookViews>
    <workbookView xWindow="28680" yWindow="-120" windowWidth="29040" windowHeight="15720" xr2:uid="{8F5BF48E-CADB-438D-85B7-0F24A167F7F2}"/>
  </bookViews>
  <sheets>
    <sheet name="Hoja3" sheetId="4" r:id="rId1"/>
    <sheet name="Hoja2 (2)" sheetId="3" r:id="rId2"/>
    <sheet name="Hoja1" sheetId="1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C9" i="4"/>
  <c r="F16" i="4"/>
  <c r="F6" i="4"/>
  <c r="C13" i="4"/>
  <c r="F5" i="4"/>
  <c r="F13" i="3"/>
  <c r="F24" i="3"/>
  <c r="C9" i="3"/>
  <c r="F15" i="3" s="1"/>
  <c r="C13" i="2"/>
  <c r="F33" i="2"/>
  <c r="F27" i="2"/>
  <c r="F25" i="2"/>
  <c r="F15" i="2"/>
  <c r="F13" i="2"/>
  <c r="F7" i="4" l="1"/>
  <c r="F8" i="4" s="1"/>
  <c r="F10" i="4" s="1"/>
  <c r="F16" i="3"/>
  <c r="F16" i="2"/>
  <c r="F18" i="2" s="1"/>
  <c r="F15" i="4" l="1"/>
  <c r="F17" i="4" s="1"/>
  <c r="F23" i="4" s="1"/>
  <c r="F18" i="3"/>
  <c r="F23" i="3"/>
  <c r="F25" i="3" s="1"/>
  <c r="F19" i="4" l="1"/>
  <c r="F25" i="4"/>
  <c r="F27" i="3"/>
  <c r="F31" i="3"/>
  <c r="F33" i="3" l="1"/>
  <c r="C13" i="3" s="1"/>
</calcChain>
</file>

<file path=xl/sharedStrings.xml><?xml version="1.0" encoding="utf-8"?>
<sst xmlns="http://schemas.openxmlformats.org/spreadsheetml/2006/main" count="229" uniqueCount="130">
  <si>
    <t>Desodorante invisible ice fresh Rexona Men antitranspirante y antimanchas</t>
  </si>
  <si>
    <t>1 ud.</t>
  </si>
  <si>
    <t>2,40 €</t>
  </si>
  <si>
    <t>Galletas Cookies Hacendado</t>
  </si>
  <si>
    <t>1,50 €</t>
  </si>
  <si>
    <t>Bolsas de basura extra Bosque Verde 30L cubo mediano</t>
  </si>
  <si>
    <t>2,15 €</t>
  </si>
  <si>
    <t>Papel higiénico Doble Rollo Bosque Verde</t>
  </si>
  <si>
    <t>4,50 €</t>
  </si>
  <si>
    <t>Suavizante ropa Violets Bosque Verde concentrado</t>
  </si>
  <si>
    <t>1,80 €</t>
  </si>
  <si>
    <t>Percarbonato blanqueante Bosque Verde</t>
  </si>
  <si>
    <t>1,65 €</t>
  </si>
  <si>
    <t>Toallitas lavadora Bosque Verde anti-transferencia de color</t>
  </si>
  <si>
    <t>1,85 €</t>
  </si>
  <si>
    <t>Margarina Tulipán Original</t>
  </si>
  <si>
    <t>2,95 €</t>
  </si>
  <si>
    <t>Dentífrico reparación activa de encías Parodontax menta fresca</t>
  </si>
  <si>
    <t>4,95 €</t>
  </si>
  <si>
    <t>Cuidado hidratante Hydra energetic L'Oréal men expert anti-fatiga 24h</t>
  </si>
  <si>
    <t>6,95 €</t>
  </si>
  <si>
    <t>Sérum Anticaída Fortificante Deliplus</t>
  </si>
  <si>
    <t>6,00 €</t>
  </si>
  <si>
    <t>Champú Anticaída Fortificante Deliplus</t>
  </si>
  <si>
    <t>2,05 €</t>
  </si>
  <si>
    <t>Albóndigas de pollo</t>
  </si>
  <si>
    <t>Burger de pollo</t>
  </si>
  <si>
    <t>3,95 €</t>
  </si>
  <si>
    <t>Lagrimitas de pollo al limón empanadas sin gluten</t>
  </si>
  <si>
    <t>3,44 €</t>
  </si>
  <si>
    <t>Infusión Jengibre Hacendado</t>
  </si>
  <si>
    <t>1,35 €</t>
  </si>
  <si>
    <t>Infusión Manzanilla Hacendado</t>
  </si>
  <si>
    <t>0,65 €</t>
  </si>
  <si>
    <t>Té negro PG tips</t>
  </si>
  <si>
    <t>2,60 €</t>
  </si>
  <si>
    <t>Cacao soluble Hacendado</t>
  </si>
  <si>
    <t>5,00 €</t>
  </si>
  <si>
    <t>Ketchup Hacendado</t>
  </si>
  <si>
    <t>1,15 €</t>
  </si>
  <si>
    <t>Picos Hacendado</t>
  </si>
  <si>
    <t>0,80 €</t>
  </si>
  <si>
    <t>4 Panes chapata de cristal</t>
  </si>
  <si>
    <t>4 uds.</t>
  </si>
  <si>
    <t>5,20 €</t>
  </si>
  <si>
    <t>Rosquilla al cacao Hacendado</t>
  </si>
  <si>
    <t>15 uds.</t>
  </si>
  <si>
    <t>3,15 €</t>
  </si>
  <si>
    <t>Berlina glacé</t>
  </si>
  <si>
    <t>Fabada Hacendado</t>
  </si>
  <si>
    <t>2 uds.</t>
  </si>
  <si>
    <t>3,00 €</t>
  </si>
  <si>
    <t>Albóndigas en salsa Hacendado</t>
  </si>
  <si>
    <t>3,60 €</t>
  </si>
  <si>
    <t>Colgador WC Azul limpieza activa Bosque Verde</t>
  </si>
  <si>
    <t>1,25 €</t>
  </si>
  <si>
    <t>Limpiador WC con lejía Bosque Verde en gel</t>
  </si>
  <si>
    <t>1,90 €</t>
  </si>
  <si>
    <t>Lechuga iceberg cortada y lavada</t>
  </si>
  <si>
    <t>Kiwi verde</t>
  </si>
  <si>
    <t>3 uds.</t>
  </si>
  <si>
    <t>1,08 €</t>
  </si>
  <si>
    <t>Fingers de queso Hacendado ultracongelados</t>
  </si>
  <si>
    <t>Nuggets de pollo Hacendado ultracongelados</t>
  </si>
  <si>
    <t>2,70 €</t>
  </si>
  <si>
    <t>Pasta con pollo al pesto Hacendado ultracongelada</t>
  </si>
  <si>
    <t>Filetes pechuga de pollo corte fino</t>
  </si>
  <si>
    <t>4,67 €</t>
  </si>
  <si>
    <t>Patatas fritas clásicas Hacendado</t>
  </si>
  <si>
    <t>Aceitunas verdes Gazpacha Hacendado partidas</t>
  </si>
  <si>
    <t>2,50 €</t>
  </si>
  <si>
    <t>Atún claro al natural Hacendado</t>
  </si>
  <si>
    <t>2 packs</t>
  </si>
  <si>
    <t>8,40 €</t>
  </si>
  <si>
    <t>Papel cocina Gigante Absorbente Bosque Verde</t>
  </si>
  <si>
    <t>2,90 €</t>
  </si>
  <si>
    <t>Pizza Formaggi Hacendado 4 quesos</t>
  </si>
  <si>
    <t>3,90 €</t>
  </si>
  <si>
    <t>Tomate ensalada</t>
  </si>
  <si>
    <t>1,20 €</t>
  </si>
  <si>
    <t>Tomate frito Hacendado</t>
  </si>
  <si>
    <t>Huevos grandes L</t>
  </si>
  <si>
    <t>Salchichas cocidas estilo Frankfurt Hacendado de pollo y cerdo sabor ahumado</t>
  </si>
  <si>
    <t>3,80 €</t>
  </si>
  <si>
    <t>Pechuga de pollo braseada Hacendado finas lonchas</t>
  </si>
  <si>
    <t>2,30 €</t>
  </si>
  <si>
    <t>Salami extra Hacendado lonchas</t>
  </si>
  <si>
    <t>1 pack</t>
  </si>
  <si>
    <t>1,95 €</t>
  </si>
  <si>
    <t>Queso lonchas fundido suave mezcla Hacendado</t>
  </si>
  <si>
    <t>2,35 €</t>
  </si>
  <si>
    <t>Queso rallado mozzarella pizza-Roma de vaca Hacendado</t>
  </si>
  <si>
    <t>Queso brie marcillat de vaca Plaisir de Roy</t>
  </si>
  <si>
    <t>Queso rallado 4 quesos Hacendado</t>
  </si>
  <si>
    <t>3,70 €</t>
  </si>
  <si>
    <t>Bebida de avena Alitey</t>
  </si>
  <si>
    <t>Leche semidesnatada Hacendado</t>
  </si>
  <si>
    <t>1,76 €</t>
  </si>
  <si>
    <t>Fideo cabello de ángel Hacendado</t>
  </si>
  <si>
    <t>Mayonesa Hacendado</t>
  </si>
  <si>
    <t>nomina de jose</t>
  </si>
  <si>
    <t>salario base</t>
  </si>
  <si>
    <t>p. productividad</t>
  </si>
  <si>
    <t>p. peligrosidad</t>
  </si>
  <si>
    <t>prorrateo</t>
  </si>
  <si>
    <t>c.comunes</t>
  </si>
  <si>
    <t>IRPF</t>
  </si>
  <si>
    <t>c.profesional</t>
  </si>
  <si>
    <t xml:space="preserve">base cotizacion de contingencias comunes (BCCC) = </t>
  </si>
  <si>
    <t>Percepciones salariales</t>
  </si>
  <si>
    <t>Exceso percepciones no salariales</t>
  </si>
  <si>
    <t>Prorrateo pagas</t>
  </si>
  <si>
    <t>BCCC:</t>
  </si>
  <si>
    <t>Deduccion, BCCC + MEI : 4,85%</t>
  </si>
  <si>
    <t>base cotizacion de contingencias profesionales (BCCP) =</t>
  </si>
  <si>
    <t>BCCC</t>
  </si>
  <si>
    <t>Horas extras</t>
  </si>
  <si>
    <t>BCCP:</t>
  </si>
  <si>
    <t>Deduccion, desempleo + formacion profesional: 1,65%</t>
  </si>
  <si>
    <t>impuesto sobre la renta de personas fisicas =</t>
  </si>
  <si>
    <t>total cobra:</t>
  </si>
  <si>
    <t>Nomina Adri</t>
  </si>
  <si>
    <t>Nocturnidad</t>
  </si>
  <si>
    <t>Comp2</t>
  </si>
  <si>
    <t>H.Extras</t>
  </si>
  <si>
    <t>impuesto sobre la renta de personas fisicas (IRPF) =</t>
  </si>
  <si>
    <t>Nomina Belen</t>
  </si>
  <si>
    <t>Comp1</t>
  </si>
  <si>
    <t>km</t>
  </si>
  <si>
    <t>km -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</si>
</sst>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rgb="FF00000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6E6E6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2" xfId="0" applyBorder="1"/>
    <xf numFmtId="10" fontId="0" fillId="0" borderId="0" xfId="0" applyNumberFormat="1"/>
    <xf numFmtId="9" fontId="0" fillId="0" borderId="0" xfId="0" applyNumberFormat="1"/>
    <xf numFmtId="2" fontId="0" fillId="0" borderId="0" xfId="0" applyNumberFormat="1"/>
    <xf numFmtId="2" fontId="0" fillId="0" borderId="2" xfId="0" applyNumberFormat="1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190499</xdr:colOff>
      <xdr:row>2</xdr:row>
      <xdr:rowOff>105954</xdr:rowOff>
    </xdr:from>
    <xdr:to>
      <xdr:col>3</xdr:col>
      <xdr:colOff>190499</xdr:colOff>
      <xdr:row>5</xdr:row>
      <xdr:rowOff>65314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99B7C4-4084-6086-F6EC-2B2F4FCD6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27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6</xdr:row>
      <xdr:rowOff>105954</xdr:rowOff>
    </xdr:from>
    <xdr:to>
      <xdr:col>3</xdr:col>
      <xdr:colOff>190499</xdr:colOff>
      <xdr:row>9</xdr:row>
      <xdr:rowOff>65314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01D9C2-D740-F7F2-171E-F1CF62B6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575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10</xdr:row>
      <xdr:rowOff>105954</xdr:rowOff>
    </xdr:from>
    <xdr:to>
      <xdr:col>3</xdr:col>
      <xdr:colOff>190499</xdr:colOff>
      <xdr:row>13</xdr:row>
      <xdr:rowOff>65314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3913C1-673E-F799-8610-4D3D9074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623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14</xdr:row>
      <xdr:rowOff>105954</xdr:rowOff>
    </xdr:from>
    <xdr:to>
      <xdr:col>3</xdr:col>
      <xdr:colOff>190499</xdr:colOff>
      <xdr:row>17</xdr:row>
      <xdr:rowOff>65314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769BF1-A4FB-5CBD-B0BE-C079CEFBA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671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18</xdr:row>
      <xdr:rowOff>105954</xdr:rowOff>
    </xdr:from>
    <xdr:to>
      <xdr:col>3</xdr:col>
      <xdr:colOff>190499</xdr:colOff>
      <xdr:row>21</xdr:row>
      <xdr:rowOff>65314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A9C3520-E2AC-9392-665A-1DBF6A9D8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718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22</xdr:row>
      <xdr:rowOff>105954</xdr:rowOff>
    </xdr:from>
    <xdr:to>
      <xdr:col>3</xdr:col>
      <xdr:colOff>190499</xdr:colOff>
      <xdr:row>25</xdr:row>
      <xdr:rowOff>65314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96EBCFF-1A07-8978-7562-D1BB55DE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766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26</xdr:row>
      <xdr:rowOff>105954</xdr:rowOff>
    </xdr:from>
    <xdr:to>
      <xdr:col>3</xdr:col>
      <xdr:colOff>190499</xdr:colOff>
      <xdr:row>29</xdr:row>
      <xdr:rowOff>65314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13BF47-596A-2FF1-1434-EEF8CB5AE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6814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30</xdr:row>
      <xdr:rowOff>105954</xdr:rowOff>
    </xdr:from>
    <xdr:to>
      <xdr:col>3</xdr:col>
      <xdr:colOff>190499</xdr:colOff>
      <xdr:row>33</xdr:row>
      <xdr:rowOff>65314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6F33B65-D173-BE63-07EE-C3A78D318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7862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34</xdr:row>
      <xdr:rowOff>105954</xdr:rowOff>
    </xdr:from>
    <xdr:to>
      <xdr:col>3</xdr:col>
      <xdr:colOff>190499</xdr:colOff>
      <xdr:row>37</xdr:row>
      <xdr:rowOff>65314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3471F1B-227D-1C9E-D53B-E6E4A74BF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8909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38</xdr:row>
      <xdr:rowOff>105954</xdr:rowOff>
    </xdr:from>
    <xdr:to>
      <xdr:col>3</xdr:col>
      <xdr:colOff>190499</xdr:colOff>
      <xdr:row>41</xdr:row>
      <xdr:rowOff>65314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66FDC93-279B-0D07-6985-B5B79485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9957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42</xdr:row>
      <xdr:rowOff>105954</xdr:rowOff>
    </xdr:from>
    <xdr:to>
      <xdr:col>3</xdr:col>
      <xdr:colOff>190499</xdr:colOff>
      <xdr:row>45</xdr:row>
      <xdr:rowOff>65314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1D2AA06-262D-4D1A-0267-E3DED7C4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1005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46</xdr:row>
      <xdr:rowOff>105954</xdr:rowOff>
    </xdr:from>
    <xdr:to>
      <xdr:col>3</xdr:col>
      <xdr:colOff>190499</xdr:colOff>
      <xdr:row>49</xdr:row>
      <xdr:rowOff>65314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568784-6DC2-7B0C-2C16-9DE138ED2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2053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50</xdr:row>
      <xdr:rowOff>105954</xdr:rowOff>
    </xdr:from>
    <xdr:to>
      <xdr:col>3</xdr:col>
      <xdr:colOff>190499</xdr:colOff>
      <xdr:row>53</xdr:row>
      <xdr:rowOff>65314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7941830-E88E-5CFA-26EE-19771FFB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3100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54</xdr:row>
      <xdr:rowOff>105954</xdr:rowOff>
    </xdr:from>
    <xdr:to>
      <xdr:col>3</xdr:col>
      <xdr:colOff>190499</xdr:colOff>
      <xdr:row>57</xdr:row>
      <xdr:rowOff>65314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6C8C924-923D-1828-BE2D-6C7F7B51F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4148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58</xdr:row>
      <xdr:rowOff>105954</xdr:rowOff>
    </xdr:from>
    <xdr:to>
      <xdr:col>3</xdr:col>
      <xdr:colOff>190499</xdr:colOff>
      <xdr:row>61</xdr:row>
      <xdr:rowOff>65314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3EE1ADE-3CEE-19A2-9668-9374B2579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5196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62</xdr:row>
      <xdr:rowOff>105954</xdr:rowOff>
    </xdr:from>
    <xdr:to>
      <xdr:col>3</xdr:col>
      <xdr:colOff>190499</xdr:colOff>
      <xdr:row>65</xdr:row>
      <xdr:rowOff>65314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812FA75-CCA1-A566-994B-CE1328C5C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6244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66</xdr:row>
      <xdr:rowOff>105954</xdr:rowOff>
    </xdr:from>
    <xdr:to>
      <xdr:col>3</xdr:col>
      <xdr:colOff>190499</xdr:colOff>
      <xdr:row>69</xdr:row>
      <xdr:rowOff>65314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A457ABB-0C6B-6DBB-F106-1D82A301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7291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70</xdr:row>
      <xdr:rowOff>105954</xdr:rowOff>
    </xdr:from>
    <xdr:to>
      <xdr:col>3</xdr:col>
      <xdr:colOff>190499</xdr:colOff>
      <xdr:row>73</xdr:row>
      <xdr:rowOff>65314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E0F5A2E-8D96-B40E-2540-9A7E3BD6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8339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74</xdr:row>
      <xdr:rowOff>105954</xdr:rowOff>
    </xdr:from>
    <xdr:to>
      <xdr:col>3</xdr:col>
      <xdr:colOff>190499</xdr:colOff>
      <xdr:row>77</xdr:row>
      <xdr:rowOff>65314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59590CC-3671-A3FF-2AEB-9DE20EFD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19387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78</xdr:row>
      <xdr:rowOff>105954</xdr:rowOff>
    </xdr:from>
    <xdr:to>
      <xdr:col>3</xdr:col>
      <xdr:colOff>190499</xdr:colOff>
      <xdr:row>81</xdr:row>
      <xdr:rowOff>65314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2E16635-840C-9ECE-C13C-D7589EB2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0435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82</xdr:row>
      <xdr:rowOff>105954</xdr:rowOff>
    </xdr:from>
    <xdr:to>
      <xdr:col>3</xdr:col>
      <xdr:colOff>190499</xdr:colOff>
      <xdr:row>85</xdr:row>
      <xdr:rowOff>65314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A38D3B3-39AD-A948-9DAC-D5A3880D4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1482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86</xdr:row>
      <xdr:rowOff>105954</xdr:rowOff>
    </xdr:from>
    <xdr:to>
      <xdr:col>3</xdr:col>
      <xdr:colOff>190499</xdr:colOff>
      <xdr:row>89</xdr:row>
      <xdr:rowOff>65314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937CD46-29FB-F876-6910-618512E3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2530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90</xdr:row>
      <xdr:rowOff>105954</xdr:rowOff>
    </xdr:from>
    <xdr:to>
      <xdr:col>3</xdr:col>
      <xdr:colOff>190499</xdr:colOff>
      <xdr:row>93</xdr:row>
      <xdr:rowOff>65314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B216B01-0542-8F87-F874-8ADFD6BE6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3578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94</xdr:row>
      <xdr:rowOff>105954</xdr:rowOff>
    </xdr:from>
    <xdr:to>
      <xdr:col>3</xdr:col>
      <xdr:colOff>190499</xdr:colOff>
      <xdr:row>97</xdr:row>
      <xdr:rowOff>65314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088B9F4-CB2C-3B33-B857-E1CD2D9F7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4626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98</xdr:row>
      <xdr:rowOff>105954</xdr:rowOff>
    </xdr:from>
    <xdr:to>
      <xdr:col>3</xdr:col>
      <xdr:colOff>190499</xdr:colOff>
      <xdr:row>101</xdr:row>
      <xdr:rowOff>65314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EE597E1-7E4A-FB32-CC71-1CB4B30F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5673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102</xdr:row>
      <xdr:rowOff>105954</xdr:rowOff>
    </xdr:from>
    <xdr:to>
      <xdr:col>3</xdr:col>
      <xdr:colOff>190499</xdr:colOff>
      <xdr:row>105</xdr:row>
      <xdr:rowOff>65314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9BCB862-8D71-A37E-34CB-A918A508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6721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106</xdr:row>
      <xdr:rowOff>105954</xdr:rowOff>
    </xdr:from>
    <xdr:to>
      <xdr:col>3</xdr:col>
      <xdr:colOff>190499</xdr:colOff>
      <xdr:row>109</xdr:row>
      <xdr:rowOff>65314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2457A93-2BC4-DC0E-8815-FF9656D6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7769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110</xdr:row>
      <xdr:rowOff>105954</xdr:rowOff>
    </xdr:from>
    <xdr:to>
      <xdr:col>3</xdr:col>
      <xdr:colOff>190499</xdr:colOff>
      <xdr:row>113</xdr:row>
      <xdr:rowOff>65314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5DC6029-718A-CD43-4F88-05DAF6C4A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8817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114</xdr:row>
      <xdr:rowOff>105954</xdr:rowOff>
    </xdr:from>
    <xdr:to>
      <xdr:col>3</xdr:col>
      <xdr:colOff>190499</xdr:colOff>
      <xdr:row>117</xdr:row>
      <xdr:rowOff>65314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B17322C-BD39-9B08-6DD8-C86960B7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29864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118</xdr:row>
      <xdr:rowOff>105954</xdr:rowOff>
    </xdr:from>
    <xdr:to>
      <xdr:col>3</xdr:col>
      <xdr:colOff>190499</xdr:colOff>
      <xdr:row>121</xdr:row>
      <xdr:rowOff>65314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C3B8106-D65D-9B09-A6F4-D3E6997B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0912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122</xdr:row>
      <xdr:rowOff>105954</xdr:rowOff>
    </xdr:from>
    <xdr:to>
      <xdr:col>3</xdr:col>
      <xdr:colOff>190499</xdr:colOff>
      <xdr:row>125</xdr:row>
      <xdr:rowOff>65314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2484AE0-11BF-4754-A56A-CE8EC8DD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1960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126</xdr:row>
      <xdr:rowOff>105954</xdr:rowOff>
    </xdr:from>
    <xdr:to>
      <xdr:col>3</xdr:col>
      <xdr:colOff>190499</xdr:colOff>
      <xdr:row>129</xdr:row>
      <xdr:rowOff>65314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A55AB53-6998-8E4C-9202-EC7FE977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3008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130</xdr:row>
      <xdr:rowOff>105954</xdr:rowOff>
    </xdr:from>
    <xdr:to>
      <xdr:col>3</xdr:col>
      <xdr:colOff>190499</xdr:colOff>
      <xdr:row>133</xdr:row>
      <xdr:rowOff>65314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624F0EA-1B91-C665-1D1F-E092FE81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4055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134</xdr:row>
      <xdr:rowOff>105954</xdr:rowOff>
    </xdr:from>
    <xdr:to>
      <xdr:col>3</xdr:col>
      <xdr:colOff>190499</xdr:colOff>
      <xdr:row>137</xdr:row>
      <xdr:rowOff>65314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10B8912-B38F-2750-9990-0760A583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5103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138</xdr:row>
      <xdr:rowOff>105954</xdr:rowOff>
    </xdr:from>
    <xdr:to>
      <xdr:col>3</xdr:col>
      <xdr:colOff>190499</xdr:colOff>
      <xdr:row>141</xdr:row>
      <xdr:rowOff>65314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0FC3BAF-B839-A072-DA45-E5B7DBF10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6151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142</xdr:row>
      <xdr:rowOff>105954</xdr:rowOff>
    </xdr:from>
    <xdr:to>
      <xdr:col>3</xdr:col>
      <xdr:colOff>190499</xdr:colOff>
      <xdr:row>145</xdr:row>
      <xdr:rowOff>65314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4A4DF37-72E1-0B50-DF14-E658342AC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7199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146</xdr:row>
      <xdr:rowOff>105954</xdr:rowOff>
    </xdr:from>
    <xdr:to>
      <xdr:col>3</xdr:col>
      <xdr:colOff>190499</xdr:colOff>
      <xdr:row>149</xdr:row>
      <xdr:rowOff>65314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5C38582-BD5F-4A96-22BF-ADF8EE3FB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8246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150</xdr:row>
      <xdr:rowOff>105954</xdr:rowOff>
    </xdr:from>
    <xdr:to>
      <xdr:col>3</xdr:col>
      <xdr:colOff>190499</xdr:colOff>
      <xdr:row>153</xdr:row>
      <xdr:rowOff>65314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28ECF87-0FC0-F141-F7DA-B98538495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39294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154</xdr:row>
      <xdr:rowOff>105954</xdr:rowOff>
    </xdr:from>
    <xdr:to>
      <xdr:col>3</xdr:col>
      <xdr:colOff>190499</xdr:colOff>
      <xdr:row>157</xdr:row>
      <xdr:rowOff>65314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ADF1016-F9CB-A113-6F54-94DB78568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0342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158</xdr:row>
      <xdr:rowOff>105954</xdr:rowOff>
    </xdr:from>
    <xdr:to>
      <xdr:col>3</xdr:col>
      <xdr:colOff>190499</xdr:colOff>
      <xdr:row>161</xdr:row>
      <xdr:rowOff>65314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15064E6-C4E3-B2E9-1098-667924D37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1390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162</xdr:row>
      <xdr:rowOff>105954</xdr:rowOff>
    </xdr:from>
    <xdr:to>
      <xdr:col>3</xdr:col>
      <xdr:colOff>190499</xdr:colOff>
      <xdr:row>165</xdr:row>
      <xdr:rowOff>65314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CE660CA3-293B-3D2E-6D6A-D925A4B3D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2437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166</xdr:row>
      <xdr:rowOff>105954</xdr:rowOff>
    </xdr:from>
    <xdr:to>
      <xdr:col>3</xdr:col>
      <xdr:colOff>190499</xdr:colOff>
      <xdr:row>169</xdr:row>
      <xdr:rowOff>65314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3A412456-6F6E-9AB1-7732-C412FC97E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3485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170</xdr:row>
      <xdr:rowOff>105954</xdr:rowOff>
    </xdr:from>
    <xdr:to>
      <xdr:col>3</xdr:col>
      <xdr:colOff>190499</xdr:colOff>
      <xdr:row>173</xdr:row>
      <xdr:rowOff>65314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A20B8B98-3209-6DE0-9F18-B010BC1E2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4533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174</xdr:row>
      <xdr:rowOff>105954</xdr:rowOff>
    </xdr:from>
    <xdr:to>
      <xdr:col>3</xdr:col>
      <xdr:colOff>190499</xdr:colOff>
      <xdr:row>177</xdr:row>
      <xdr:rowOff>65314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AFB81F8-8062-9503-1445-E7E48643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5581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178</xdr:row>
      <xdr:rowOff>105954</xdr:rowOff>
    </xdr:from>
    <xdr:to>
      <xdr:col>3</xdr:col>
      <xdr:colOff>190499</xdr:colOff>
      <xdr:row>181</xdr:row>
      <xdr:rowOff>65314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B81E21B-1F8B-1BF1-A388-03AB5729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6628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182</xdr:row>
      <xdr:rowOff>105954</xdr:rowOff>
    </xdr:from>
    <xdr:to>
      <xdr:col>3</xdr:col>
      <xdr:colOff>190499</xdr:colOff>
      <xdr:row>185</xdr:row>
      <xdr:rowOff>65314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B2A34401-79E2-60B7-4608-4EA8F7A8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7676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186</xdr:row>
      <xdr:rowOff>105954</xdr:rowOff>
    </xdr:from>
    <xdr:to>
      <xdr:col>3</xdr:col>
      <xdr:colOff>190499</xdr:colOff>
      <xdr:row>189</xdr:row>
      <xdr:rowOff>65314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BCD6608-0EF3-DA92-E8A7-694990934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87242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190</xdr:row>
      <xdr:rowOff>105954</xdr:rowOff>
    </xdr:from>
    <xdr:to>
      <xdr:col>3</xdr:col>
      <xdr:colOff>190499</xdr:colOff>
      <xdr:row>193</xdr:row>
      <xdr:rowOff>65314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97C95B4D-ED5C-5EAB-8581-3EC8F1BF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497720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194</xdr:row>
      <xdr:rowOff>105954</xdr:rowOff>
    </xdr:from>
    <xdr:to>
      <xdr:col>3</xdr:col>
      <xdr:colOff>190499</xdr:colOff>
      <xdr:row>197</xdr:row>
      <xdr:rowOff>65314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B1A6FE1B-F2B2-DF42-2830-016DBBC3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081977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198</xdr:row>
      <xdr:rowOff>105954</xdr:rowOff>
    </xdr:from>
    <xdr:to>
      <xdr:col>3</xdr:col>
      <xdr:colOff>190499</xdr:colOff>
      <xdr:row>201</xdr:row>
      <xdr:rowOff>65314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CB639ECE-A026-E5DC-80FA-58261B85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1867525"/>
          <a:ext cx="762000" cy="775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202</xdr:row>
      <xdr:rowOff>108948</xdr:rowOff>
    </xdr:from>
    <xdr:to>
      <xdr:col>3</xdr:col>
      <xdr:colOff>190499</xdr:colOff>
      <xdr:row>205</xdr:row>
      <xdr:rowOff>69396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42BC6D31-F391-7549-0014-448E1551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2918269"/>
          <a:ext cx="762000" cy="776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206</xdr:row>
      <xdr:rowOff>98968</xdr:rowOff>
    </xdr:from>
    <xdr:to>
      <xdr:col>3</xdr:col>
      <xdr:colOff>190499</xdr:colOff>
      <xdr:row>209</xdr:row>
      <xdr:rowOff>55788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5CCB6DDA-2D37-C0C5-E6FA-2BC8D86CC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3956039"/>
          <a:ext cx="762000" cy="773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190499</xdr:colOff>
      <xdr:row>210</xdr:row>
      <xdr:rowOff>71390</xdr:rowOff>
    </xdr:from>
    <xdr:to>
      <xdr:col>3</xdr:col>
      <xdr:colOff>190499</xdr:colOff>
      <xdr:row>213</xdr:row>
      <xdr:rowOff>23131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39F9AE05-4892-FBCE-D0B9-BEE89402F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3785" y="54989819"/>
          <a:ext cx="762000" cy="768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2F32-0191-4849-B54F-3BD6603962D6}">
  <dimension ref="B2:F25"/>
  <sheetViews>
    <sheetView tabSelected="1" workbookViewId="0">
      <selection activeCell="C17" sqref="C17"/>
    </sheetView>
  </sheetViews>
  <sheetFormatPr baseColWidth="10" defaultRowHeight="15" x14ac:dyDescent="0.25"/>
  <cols>
    <col min="2" max="2" width="15.42578125" bestFit="1" customWidth="1"/>
    <col min="5" max="5" width="48.140625" bestFit="1" customWidth="1"/>
  </cols>
  <sheetData>
    <row r="2" spans="2:6" x14ac:dyDescent="0.25">
      <c r="C2" s="14"/>
      <c r="D2" s="14"/>
      <c r="E2" s="11" t="s">
        <v>105</v>
      </c>
      <c r="F2" s="11"/>
    </row>
    <row r="3" spans="2:6" x14ac:dyDescent="0.25">
      <c r="C3" s="14"/>
      <c r="D3" s="14"/>
      <c r="E3" s="12" t="s">
        <v>108</v>
      </c>
    </row>
    <row r="4" spans="2:6" x14ac:dyDescent="0.25">
      <c r="B4" t="s">
        <v>126</v>
      </c>
      <c r="C4" s="14"/>
      <c r="D4" s="14"/>
    </row>
    <row r="5" spans="2:6" x14ac:dyDescent="0.25">
      <c r="C5" s="14"/>
      <c r="D5" s="14"/>
      <c r="E5" t="s">
        <v>109</v>
      </c>
      <c r="F5" s="9">
        <f>+C6+C7+C8</f>
        <v>3500</v>
      </c>
    </row>
    <row r="6" spans="2:6" x14ac:dyDescent="0.25">
      <c r="B6" t="s">
        <v>101</v>
      </c>
      <c r="C6" s="15">
        <v>3000</v>
      </c>
      <c r="D6" s="14"/>
      <c r="E6" t="s">
        <v>110</v>
      </c>
      <c r="F6" s="9">
        <f>+C12-C13</f>
        <v>388</v>
      </c>
    </row>
    <row r="7" spans="2:6" x14ac:dyDescent="0.25">
      <c r="B7" t="s">
        <v>127</v>
      </c>
      <c r="C7" s="15">
        <v>100</v>
      </c>
      <c r="D7" s="14"/>
      <c r="E7" s="6" t="s">
        <v>111</v>
      </c>
      <c r="F7" s="10">
        <f>+C10+C9</f>
        <v>566.66666666666663</v>
      </c>
    </row>
    <row r="8" spans="2:6" x14ac:dyDescent="0.25">
      <c r="B8" t="s">
        <v>123</v>
      </c>
      <c r="C8" s="15">
        <v>400</v>
      </c>
      <c r="D8" s="14"/>
      <c r="E8" t="s">
        <v>112</v>
      </c>
      <c r="F8" s="9">
        <f>+F7+F6+F5</f>
        <v>4454.666666666667</v>
      </c>
    </row>
    <row r="9" spans="2:6" x14ac:dyDescent="0.25">
      <c r="B9" t="s">
        <v>104</v>
      </c>
      <c r="C9" s="9">
        <f>+((C6+C8)*2)/12</f>
        <v>566.66666666666663</v>
      </c>
      <c r="D9" s="14"/>
      <c r="E9" t="s">
        <v>113</v>
      </c>
    </row>
    <row r="10" spans="2:6" x14ac:dyDescent="0.25">
      <c r="C10" s="15"/>
      <c r="D10" s="14"/>
      <c r="E10" s="7">
        <v>4.8500000000000001E-2</v>
      </c>
      <c r="F10" s="9">
        <f>+F8*E10</f>
        <v>216.05133333333336</v>
      </c>
    </row>
    <row r="11" spans="2:6" x14ac:dyDescent="0.25">
      <c r="B11" t="s">
        <v>124</v>
      </c>
      <c r="C11" s="15">
        <v>200</v>
      </c>
      <c r="D11" s="13" t="s">
        <v>128</v>
      </c>
    </row>
    <row r="12" spans="2:6" x14ac:dyDescent="0.25">
      <c r="B12" t="s">
        <v>129</v>
      </c>
      <c r="C12" s="15">
        <v>700</v>
      </c>
      <c r="D12" s="14">
        <v>1200</v>
      </c>
      <c r="E12" s="11" t="s">
        <v>107</v>
      </c>
      <c r="F12" s="11"/>
    </row>
    <row r="13" spans="2:6" x14ac:dyDescent="0.25">
      <c r="C13" s="15">
        <f>+D12*0.26</f>
        <v>312</v>
      </c>
      <c r="E13" s="12" t="s">
        <v>114</v>
      </c>
    </row>
    <row r="15" spans="2:6" x14ac:dyDescent="0.25">
      <c r="E15" t="s">
        <v>115</v>
      </c>
      <c r="F15" s="9">
        <f>+F8</f>
        <v>4454.666666666667</v>
      </c>
    </row>
    <row r="16" spans="2:6" x14ac:dyDescent="0.25">
      <c r="B16" t="s">
        <v>120</v>
      </c>
      <c r="C16" s="9">
        <f>+F23-F25-F19-F10+C13</f>
        <v>3510.1466666666665</v>
      </c>
      <c r="E16" s="6" t="s">
        <v>116</v>
      </c>
      <c r="F16" s="10">
        <f>+C11</f>
        <v>200</v>
      </c>
    </row>
    <row r="17" spans="5:6" x14ac:dyDescent="0.25">
      <c r="E17" t="s">
        <v>117</v>
      </c>
      <c r="F17" s="9">
        <f>SUM(F15:F16)</f>
        <v>4654.666666666667</v>
      </c>
    </row>
    <row r="18" spans="5:6" x14ac:dyDescent="0.25">
      <c r="E18" t="s">
        <v>118</v>
      </c>
    </row>
    <row r="19" spans="5:6" x14ac:dyDescent="0.25">
      <c r="E19" s="7">
        <v>1.6500000000000001E-2</v>
      </c>
      <c r="F19" s="9">
        <f>+F17*E19</f>
        <v>76.802000000000007</v>
      </c>
    </row>
    <row r="21" spans="5:6" x14ac:dyDescent="0.25">
      <c r="E21" s="11" t="s">
        <v>106</v>
      </c>
      <c r="F21" s="11"/>
    </row>
    <row r="22" spans="5:6" x14ac:dyDescent="0.25">
      <c r="E22" s="12" t="s">
        <v>125</v>
      </c>
    </row>
    <row r="23" spans="5:6" x14ac:dyDescent="0.25">
      <c r="E23" t="s">
        <v>117</v>
      </c>
      <c r="F23" s="9">
        <f>+F17</f>
        <v>4654.666666666667</v>
      </c>
    </row>
    <row r="25" spans="5:6" x14ac:dyDescent="0.25">
      <c r="E25" s="8">
        <v>0.25</v>
      </c>
      <c r="F25" s="9">
        <f>+F23*E25</f>
        <v>1163.6666666666667</v>
      </c>
    </row>
  </sheetData>
  <mergeCells count="3">
    <mergeCell ref="E21:F21"/>
    <mergeCell ref="E12:F1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4BDA-E568-4F76-B74B-433E92FA8C78}">
  <dimension ref="B4:F33"/>
  <sheetViews>
    <sheetView workbookViewId="0">
      <selection activeCell="C9" sqref="C9"/>
    </sheetView>
  </sheetViews>
  <sheetFormatPr baseColWidth="10" defaultRowHeight="15" x14ac:dyDescent="0.25"/>
  <cols>
    <col min="2" max="2" width="15.42578125" bestFit="1" customWidth="1"/>
    <col min="5" max="5" width="48.140625" bestFit="1" customWidth="1"/>
  </cols>
  <sheetData>
    <row r="4" spans="2:6" x14ac:dyDescent="0.25">
      <c r="B4" t="s">
        <v>121</v>
      </c>
    </row>
    <row r="6" spans="2:6" x14ac:dyDescent="0.25">
      <c r="B6" t="s">
        <v>101</v>
      </c>
      <c r="C6">
        <v>3500</v>
      </c>
    </row>
    <row r="7" spans="2:6" x14ac:dyDescent="0.25">
      <c r="B7" t="s">
        <v>122</v>
      </c>
      <c r="C7">
        <v>200</v>
      </c>
    </row>
    <row r="8" spans="2:6" x14ac:dyDescent="0.25">
      <c r="B8" t="s">
        <v>123</v>
      </c>
      <c r="C8">
        <v>300</v>
      </c>
    </row>
    <row r="9" spans="2:6" x14ac:dyDescent="0.25">
      <c r="B9" t="s">
        <v>104</v>
      </c>
      <c r="C9" s="9">
        <f>+((C6+C7)*2)/12</f>
        <v>616.66666666666663</v>
      </c>
    </row>
    <row r="10" spans="2:6" x14ac:dyDescent="0.25">
      <c r="B10" t="s">
        <v>124</v>
      </c>
      <c r="C10">
        <v>300</v>
      </c>
      <c r="E10" s="11" t="s">
        <v>105</v>
      </c>
      <c r="F10" s="11"/>
    </row>
    <row r="11" spans="2:6" x14ac:dyDescent="0.25">
      <c r="E11" s="12" t="s">
        <v>108</v>
      </c>
    </row>
    <row r="13" spans="2:6" x14ac:dyDescent="0.25">
      <c r="B13" t="s">
        <v>120</v>
      </c>
      <c r="C13">
        <f>+F31-F33-F27-F18</f>
        <v>3628.3</v>
      </c>
      <c r="E13" t="s">
        <v>109</v>
      </c>
      <c r="F13" s="9">
        <f>+C6+C7+C8</f>
        <v>4000</v>
      </c>
    </row>
    <row r="14" spans="2:6" x14ac:dyDescent="0.25">
      <c r="E14" t="s">
        <v>110</v>
      </c>
      <c r="F14" s="9">
        <v>0</v>
      </c>
    </row>
    <row r="15" spans="2:6" x14ac:dyDescent="0.25">
      <c r="E15" s="6" t="s">
        <v>111</v>
      </c>
      <c r="F15" s="10">
        <f>+C9</f>
        <v>616.66666666666663</v>
      </c>
    </row>
    <row r="16" spans="2:6" x14ac:dyDescent="0.25">
      <c r="E16" t="s">
        <v>112</v>
      </c>
      <c r="F16" s="9">
        <f>+F15+F14+F13</f>
        <v>4616.666666666667</v>
      </c>
    </row>
    <row r="17" spans="5:6" x14ac:dyDescent="0.25">
      <c r="E17" t="s">
        <v>113</v>
      </c>
    </row>
    <row r="18" spans="5:6" x14ac:dyDescent="0.25">
      <c r="E18" s="7">
        <v>4.8500000000000001E-2</v>
      </c>
      <c r="F18" s="9">
        <f>+F16*E18</f>
        <v>223.90833333333336</v>
      </c>
    </row>
    <row r="20" spans="5:6" x14ac:dyDescent="0.25">
      <c r="E20" s="11" t="s">
        <v>107</v>
      </c>
      <c r="F20" s="11"/>
    </row>
    <row r="21" spans="5:6" x14ac:dyDescent="0.25">
      <c r="E21" s="12" t="s">
        <v>114</v>
      </c>
    </row>
    <row r="23" spans="5:6" x14ac:dyDescent="0.25">
      <c r="E23" t="s">
        <v>115</v>
      </c>
      <c r="F23" s="9">
        <f>+F16</f>
        <v>4616.666666666667</v>
      </c>
    </row>
    <row r="24" spans="5:6" x14ac:dyDescent="0.25">
      <c r="E24" s="6" t="s">
        <v>116</v>
      </c>
      <c r="F24" s="10">
        <f>+C10</f>
        <v>300</v>
      </c>
    </row>
    <row r="25" spans="5:6" x14ac:dyDescent="0.25">
      <c r="E25" t="s">
        <v>117</v>
      </c>
      <c r="F25" s="9">
        <f>SUM(F23:F24)</f>
        <v>4916.666666666667</v>
      </c>
    </row>
    <row r="26" spans="5:6" x14ac:dyDescent="0.25">
      <c r="E26" t="s">
        <v>118</v>
      </c>
    </row>
    <row r="27" spans="5:6" x14ac:dyDescent="0.25">
      <c r="E27" s="7">
        <v>1.6500000000000001E-2</v>
      </c>
      <c r="F27" s="9">
        <f>+F25*E27</f>
        <v>81.125000000000014</v>
      </c>
    </row>
    <row r="29" spans="5:6" x14ac:dyDescent="0.25">
      <c r="E29" s="11" t="s">
        <v>106</v>
      </c>
      <c r="F29" s="11"/>
    </row>
    <row r="30" spans="5:6" x14ac:dyDescent="0.25">
      <c r="E30" s="12" t="s">
        <v>125</v>
      </c>
    </row>
    <row r="31" spans="5:6" x14ac:dyDescent="0.25">
      <c r="E31" t="s">
        <v>117</v>
      </c>
      <c r="F31" s="9">
        <f>+F25</f>
        <v>4916.666666666667</v>
      </c>
    </row>
    <row r="33" spans="5:6" x14ac:dyDescent="0.25">
      <c r="E33" s="8">
        <v>0.2</v>
      </c>
      <c r="F33" s="9">
        <f>+F31*E33</f>
        <v>983.33333333333348</v>
      </c>
    </row>
  </sheetData>
  <mergeCells count="3">
    <mergeCell ref="E10:F10"/>
    <mergeCell ref="E20:F20"/>
    <mergeCell ref="E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5509-A31B-4EA8-82B6-DB1837C42725}">
  <dimension ref="B2:B213"/>
  <sheetViews>
    <sheetView zoomScale="70" zoomScaleNormal="70" workbookViewId="0">
      <selection activeCell="B192" sqref="B192"/>
    </sheetView>
  </sheetViews>
  <sheetFormatPr baseColWidth="10" defaultRowHeight="15" x14ac:dyDescent="0.25"/>
  <cols>
    <col min="2" max="2" width="105.28515625" bestFit="1" customWidth="1"/>
  </cols>
  <sheetData>
    <row r="2" spans="2:2" ht="18" x14ac:dyDescent="0.25">
      <c r="B2" s="1"/>
    </row>
    <row r="3" spans="2:2" ht="21" x14ac:dyDescent="0.25">
      <c r="B3" s="2" t="s">
        <v>0</v>
      </c>
    </row>
    <row r="4" spans="2:2" ht="21" x14ac:dyDescent="0.25">
      <c r="B4" s="3" t="s">
        <v>1</v>
      </c>
    </row>
    <row r="5" spans="2:2" ht="21" x14ac:dyDescent="0.25">
      <c r="B5" s="4" t="s">
        <v>2</v>
      </c>
    </row>
    <row r="6" spans="2:2" ht="18" x14ac:dyDescent="0.25">
      <c r="B6" s="1"/>
    </row>
    <row r="7" spans="2:2" ht="21" x14ac:dyDescent="0.25">
      <c r="B7" s="2" t="s">
        <v>3</v>
      </c>
    </row>
    <row r="8" spans="2:2" ht="21" x14ac:dyDescent="0.25">
      <c r="B8" s="3" t="s">
        <v>1</v>
      </c>
    </row>
    <row r="9" spans="2:2" ht="21" x14ac:dyDescent="0.25">
      <c r="B9" s="4" t="s">
        <v>4</v>
      </c>
    </row>
    <row r="10" spans="2:2" ht="18" x14ac:dyDescent="0.25">
      <c r="B10" s="1"/>
    </row>
    <row r="11" spans="2:2" ht="21" x14ac:dyDescent="0.25">
      <c r="B11" s="2" t="s">
        <v>5</v>
      </c>
    </row>
    <row r="12" spans="2:2" ht="21" x14ac:dyDescent="0.25">
      <c r="B12" s="3" t="s">
        <v>1</v>
      </c>
    </row>
    <row r="13" spans="2:2" ht="21" x14ac:dyDescent="0.25">
      <c r="B13" s="4" t="s">
        <v>6</v>
      </c>
    </row>
    <row r="14" spans="2:2" ht="18" x14ac:dyDescent="0.25">
      <c r="B14" s="1"/>
    </row>
    <row r="15" spans="2:2" ht="21" x14ac:dyDescent="0.25">
      <c r="B15" s="2" t="s">
        <v>7</v>
      </c>
    </row>
    <row r="16" spans="2:2" ht="21" x14ac:dyDescent="0.25">
      <c r="B16" s="3" t="s">
        <v>1</v>
      </c>
    </row>
    <row r="17" spans="2:2" ht="21" x14ac:dyDescent="0.25">
      <c r="B17" s="4" t="s">
        <v>8</v>
      </c>
    </row>
    <row r="18" spans="2:2" ht="18" x14ac:dyDescent="0.25">
      <c r="B18" s="1"/>
    </row>
    <row r="19" spans="2:2" ht="21" x14ac:dyDescent="0.25">
      <c r="B19" s="2" t="s">
        <v>9</v>
      </c>
    </row>
    <row r="20" spans="2:2" ht="21" x14ac:dyDescent="0.25">
      <c r="B20" s="3" t="s">
        <v>1</v>
      </c>
    </row>
    <row r="21" spans="2:2" ht="21" x14ac:dyDescent="0.25">
      <c r="B21" s="4" t="s">
        <v>10</v>
      </c>
    </row>
    <row r="22" spans="2:2" ht="18" x14ac:dyDescent="0.25">
      <c r="B22" s="1"/>
    </row>
    <row r="23" spans="2:2" ht="21" x14ac:dyDescent="0.25">
      <c r="B23" s="2" t="s">
        <v>11</v>
      </c>
    </row>
    <row r="24" spans="2:2" ht="21" x14ac:dyDescent="0.25">
      <c r="B24" s="3" t="s">
        <v>1</v>
      </c>
    </row>
    <row r="25" spans="2:2" ht="21" x14ac:dyDescent="0.25">
      <c r="B25" s="4" t="s">
        <v>12</v>
      </c>
    </row>
    <row r="26" spans="2:2" ht="18" x14ac:dyDescent="0.25">
      <c r="B26" s="1"/>
    </row>
    <row r="27" spans="2:2" ht="21" x14ac:dyDescent="0.25">
      <c r="B27" s="2" t="s">
        <v>13</v>
      </c>
    </row>
    <row r="28" spans="2:2" ht="21" x14ac:dyDescent="0.25">
      <c r="B28" s="3" t="s">
        <v>1</v>
      </c>
    </row>
    <row r="29" spans="2:2" ht="21" x14ac:dyDescent="0.25">
      <c r="B29" s="4" t="s">
        <v>14</v>
      </c>
    </row>
    <row r="30" spans="2:2" ht="18" x14ac:dyDescent="0.25">
      <c r="B30" s="1"/>
    </row>
    <row r="31" spans="2:2" ht="21" x14ac:dyDescent="0.25">
      <c r="B31" s="2" t="s">
        <v>15</v>
      </c>
    </row>
    <row r="32" spans="2:2" ht="21" x14ac:dyDescent="0.25">
      <c r="B32" s="3" t="s">
        <v>1</v>
      </c>
    </row>
    <row r="33" spans="2:2" ht="21" x14ac:dyDescent="0.25">
      <c r="B33" s="4" t="s">
        <v>16</v>
      </c>
    </row>
    <row r="34" spans="2:2" ht="18" x14ac:dyDescent="0.25">
      <c r="B34" s="1"/>
    </row>
    <row r="35" spans="2:2" ht="21" x14ac:dyDescent="0.25">
      <c r="B35" s="2" t="s">
        <v>17</v>
      </c>
    </row>
    <row r="36" spans="2:2" ht="21" x14ac:dyDescent="0.25">
      <c r="B36" s="3" t="s">
        <v>1</v>
      </c>
    </row>
    <row r="37" spans="2:2" ht="21" x14ac:dyDescent="0.25">
      <c r="B37" s="4" t="s">
        <v>18</v>
      </c>
    </row>
    <row r="38" spans="2:2" ht="18" x14ac:dyDescent="0.25">
      <c r="B38" s="1"/>
    </row>
    <row r="39" spans="2:2" ht="21" x14ac:dyDescent="0.25">
      <c r="B39" s="2" t="s">
        <v>19</v>
      </c>
    </row>
    <row r="40" spans="2:2" ht="21" x14ac:dyDescent="0.25">
      <c r="B40" s="3" t="s">
        <v>1</v>
      </c>
    </row>
    <row r="41" spans="2:2" ht="21" x14ac:dyDescent="0.25">
      <c r="B41" s="4" t="s">
        <v>20</v>
      </c>
    </row>
    <row r="42" spans="2:2" ht="18" x14ac:dyDescent="0.25">
      <c r="B42" s="1"/>
    </row>
    <row r="43" spans="2:2" ht="21" x14ac:dyDescent="0.25">
      <c r="B43" s="2" t="s">
        <v>21</v>
      </c>
    </row>
    <row r="44" spans="2:2" ht="21" x14ac:dyDescent="0.25">
      <c r="B44" s="3" t="s">
        <v>1</v>
      </c>
    </row>
    <row r="45" spans="2:2" ht="21" x14ac:dyDescent="0.25">
      <c r="B45" s="4" t="s">
        <v>22</v>
      </c>
    </row>
    <row r="46" spans="2:2" ht="18" x14ac:dyDescent="0.25">
      <c r="B46" s="1"/>
    </row>
    <row r="47" spans="2:2" ht="21" x14ac:dyDescent="0.25">
      <c r="B47" s="2" t="s">
        <v>23</v>
      </c>
    </row>
    <row r="48" spans="2:2" ht="21" x14ac:dyDescent="0.25">
      <c r="B48" s="3" t="s">
        <v>1</v>
      </c>
    </row>
    <row r="49" spans="2:2" ht="21" x14ac:dyDescent="0.25">
      <c r="B49" s="4" t="s">
        <v>24</v>
      </c>
    </row>
    <row r="50" spans="2:2" ht="18" x14ac:dyDescent="0.25">
      <c r="B50" s="1"/>
    </row>
    <row r="51" spans="2:2" ht="21" x14ac:dyDescent="0.25">
      <c r="B51" s="2" t="s">
        <v>25</v>
      </c>
    </row>
    <row r="52" spans="2:2" ht="21" x14ac:dyDescent="0.25">
      <c r="B52" s="3" t="s">
        <v>1</v>
      </c>
    </row>
    <row r="53" spans="2:2" ht="21" x14ac:dyDescent="0.25">
      <c r="B53" s="4" t="s">
        <v>22</v>
      </c>
    </row>
    <row r="54" spans="2:2" ht="18" x14ac:dyDescent="0.25">
      <c r="B54" s="1"/>
    </row>
    <row r="55" spans="2:2" ht="21" x14ac:dyDescent="0.25">
      <c r="B55" s="2" t="s">
        <v>26</v>
      </c>
    </row>
    <row r="56" spans="2:2" ht="21" x14ac:dyDescent="0.25">
      <c r="B56" s="3" t="s">
        <v>1</v>
      </c>
    </row>
    <row r="57" spans="2:2" ht="21" x14ac:dyDescent="0.25">
      <c r="B57" s="4" t="s">
        <v>27</v>
      </c>
    </row>
    <row r="58" spans="2:2" ht="18" x14ac:dyDescent="0.25">
      <c r="B58" s="1"/>
    </row>
    <row r="59" spans="2:2" ht="21" x14ac:dyDescent="0.25">
      <c r="B59" s="2" t="s">
        <v>28</v>
      </c>
    </row>
    <row r="60" spans="2:2" ht="21" x14ac:dyDescent="0.25">
      <c r="B60" s="3" t="s">
        <v>1</v>
      </c>
    </row>
    <row r="61" spans="2:2" ht="21" x14ac:dyDescent="0.25">
      <c r="B61" s="4" t="s">
        <v>29</v>
      </c>
    </row>
    <row r="62" spans="2:2" ht="18" x14ac:dyDescent="0.25">
      <c r="B62" s="1"/>
    </row>
    <row r="63" spans="2:2" ht="21" x14ac:dyDescent="0.25">
      <c r="B63" s="2" t="s">
        <v>30</v>
      </c>
    </row>
    <row r="64" spans="2:2" ht="21" x14ac:dyDescent="0.25">
      <c r="B64" s="3" t="s">
        <v>1</v>
      </c>
    </row>
    <row r="65" spans="2:2" ht="21" x14ac:dyDescent="0.25">
      <c r="B65" s="4" t="s">
        <v>31</v>
      </c>
    </row>
    <row r="66" spans="2:2" ht="18" x14ac:dyDescent="0.25">
      <c r="B66" s="1"/>
    </row>
    <row r="67" spans="2:2" ht="21" x14ac:dyDescent="0.25">
      <c r="B67" s="2" t="s">
        <v>32</v>
      </c>
    </row>
    <row r="68" spans="2:2" ht="21" x14ac:dyDescent="0.25">
      <c r="B68" s="3" t="s">
        <v>1</v>
      </c>
    </row>
    <row r="69" spans="2:2" ht="21" x14ac:dyDescent="0.25">
      <c r="B69" s="4" t="s">
        <v>33</v>
      </c>
    </row>
    <row r="70" spans="2:2" ht="18" x14ac:dyDescent="0.25">
      <c r="B70" s="1"/>
    </row>
    <row r="71" spans="2:2" ht="21" x14ac:dyDescent="0.25">
      <c r="B71" s="2" t="s">
        <v>34</v>
      </c>
    </row>
    <row r="72" spans="2:2" ht="21" x14ac:dyDescent="0.25">
      <c r="B72" s="3" t="s">
        <v>1</v>
      </c>
    </row>
    <row r="73" spans="2:2" ht="21" x14ac:dyDescent="0.25">
      <c r="B73" s="4" t="s">
        <v>35</v>
      </c>
    </row>
    <row r="74" spans="2:2" ht="18" x14ac:dyDescent="0.25">
      <c r="B74" s="1"/>
    </row>
    <row r="75" spans="2:2" ht="21" x14ac:dyDescent="0.25">
      <c r="B75" s="2" t="s">
        <v>36</v>
      </c>
    </row>
    <row r="76" spans="2:2" ht="21" x14ac:dyDescent="0.25">
      <c r="B76" s="3" t="s">
        <v>1</v>
      </c>
    </row>
    <row r="77" spans="2:2" ht="21" x14ac:dyDescent="0.25">
      <c r="B77" s="4" t="s">
        <v>37</v>
      </c>
    </row>
    <row r="78" spans="2:2" ht="18" x14ac:dyDescent="0.25">
      <c r="B78" s="1"/>
    </row>
    <row r="79" spans="2:2" ht="21" x14ac:dyDescent="0.25">
      <c r="B79" s="2" t="s">
        <v>38</v>
      </c>
    </row>
    <row r="80" spans="2:2" ht="21" x14ac:dyDescent="0.25">
      <c r="B80" s="3" t="s">
        <v>1</v>
      </c>
    </row>
    <row r="81" spans="2:2" ht="21" x14ac:dyDescent="0.25">
      <c r="B81" s="4" t="s">
        <v>39</v>
      </c>
    </row>
    <row r="82" spans="2:2" ht="18" x14ac:dyDescent="0.25">
      <c r="B82" s="1"/>
    </row>
    <row r="83" spans="2:2" ht="21" x14ac:dyDescent="0.25">
      <c r="B83" s="2" t="s">
        <v>40</v>
      </c>
    </row>
    <row r="84" spans="2:2" ht="21" x14ac:dyDescent="0.25">
      <c r="B84" s="3" t="s">
        <v>1</v>
      </c>
    </row>
    <row r="85" spans="2:2" ht="21" x14ac:dyDescent="0.25">
      <c r="B85" s="4" t="s">
        <v>41</v>
      </c>
    </row>
    <row r="86" spans="2:2" ht="18" x14ac:dyDescent="0.25">
      <c r="B86" s="1"/>
    </row>
    <row r="87" spans="2:2" ht="21" x14ac:dyDescent="0.25">
      <c r="B87" s="2" t="s">
        <v>42</v>
      </c>
    </row>
    <row r="88" spans="2:2" ht="21" x14ac:dyDescent="0.25">
      <c r="B88" s="3" t="s">
        <v>43</v>
      </c>
    </row>
    <row r="89" spans="2:2" ht="21" x14ac:dyDescent="0.25">
      <c r="B89" s="4" t="s">
        <v>44</v>
      </c>
    </row>
    <row r="90" spans="2:2" ht="18" x14ac:dyDescent="0.25">
      <c r="B90" s="1"/>
    </row>
    <row r="91" spans="2:2" ht="21" x14ac:dyDescent="0.25">
      <c r="B91" s="2" t="s">
        <v>45</v>
      </c>
    </row>
    <row r="92" spans="2:2" ht="21" x14ac:dyDescent="0.25">
      <c r="B92" s="3" t="s">
        <v>46</v>
      </c>
    </row>
    <row r="93" spans="2:2" ht="21" x14ac:dyDescent="0.25">
      <c r="B93" s="4" t="s">
        <v>47</v>
      </c>
    </row>
    <row r="94" spans="2:2" ht="18" x14ac:dyDescent="0.25">
      <c r="B94" s="1"/>
    </row>
    <row r="95" spans="2:2" ht="21" x14ac:dyDescent="0.25">
      <c r="B95" s="2" t="s">
        <v>48</v>
      </c>
    </row>
    <row r="96" spans="2:2" ht="21" x14ac:dyDescent="0.25">
      <c r="B96" s="3" t="s">
        <v>1</v>
      </c>
    </row>
    <row r="97" spans="2:2" ht="21" x14ac:dyDescent="0.25">
      <c r="B97" s="4" t="s">
        <v>31</v>
      </c>
    </row>
    <row r="98" spans="2:2" ht="18" x14ac:dyDescent="0.25">
      <c r="B98" s="1"/>
    </row>
    <row r="99" spans="2:2" ht="21" x14ac:dyDescent="0.25">
      <c r="B99" s="2" t="s">
        <v>49</v>
      </c>
    </row>
    <row r="100" spans="2:2" ht="21" x14ac:dyDescent="0.25">
      <c r="B100" s="3" t="s">
        <v>50</v>
      </c>
    </row>
    <row r="101" spans="2:2" ht="21" x14ac:dyDescent="0.25">
      <c r="B101" s="4" t="s">
        <v>51</v>
      </c>
    </row>
    <row r="102" spans="2:2" ht="18" x14ac:dyDescent="0.25">
      <c r="B102" s="1"/>
    </row>
    <row r="103" spans="2:2" ht="21" x14ac:dyDescent="0.25">
      <c r="B103" s="2" t="s">
        <v>52</v>
      </c>
    </row>
    <row r="104" spans="2:2" ht="21" x14ac:dyDescent="0.25">
      <c r="B104" s="3" t="s">
        <v>50</v>
      </c>
    </row>
    <row r="105" spans="2:2" ht="21" x14ac:dyDescent="0.25">
      <c r="B105" s="4" t="s">
        <v>53</v>
      </c>
    </row>
    <row r="106" spans="2:2" ht="18" x14ac:dyDescent="0.25">
      <c r="B106" s="1"/>
    </row>
    <row r="107" spans="2:2" ht="21" x14ac:dyDescent="0.25">
      <c r="B107" s="2" t="s">
        <v>54</v>
      </c>
    </row>
    <row r="108" spans="2:2" ht="21" x14ac:dyDescent="0.25">
      <c r="B108" s="3" t="s">
        <v>1</v>
      </c>
    </row>
    <row r="109" spans="2:2" ht="21" x14ac:dyDescent="0.25">
      <c r="B109" s="4" t="s">
        <v>55</v>
      </c>
    </row>
    <row r="110" spans="2:2" ht="18" x14ac:dyDescent="0.25">
      <c r="B110" s="1"/>
    </row>
    <row r="111" spans="2:2" ht="21" x14ac:dyDescent="0.25">
      <c r="B111" s="2" t="s">
        <v>56</v>
      </c>
    </row>
    <row r="112" spans="2:2" ht="21" x14ac:dyDescent="0.25">
      <c r="B112" s="3" t="s">
        <v>50</v>
      </c>
    </row>
    <row r="113" spans="2:2" ht="21" x14ac:dyDescent="0.25">
      <c r="B113" s="4" t="s">
        <v>57</v>
      </c>
    </row>
    <row r="114" spans="2:2" ht="18" x14ac:dyDescent="0.25">
      <c r="B114" s="1"/>
    </row>
    <row r="115" spans="2:2" ht="21" x14ac:dyDescent="0.25">
      <c r="B115" s="2" t="s">
        <v>58</v>
      </c>
    </row>
    <row r="116" spans="2:2" ht="21" x14ac:dyDescent="0.25">
      <c r="B116" s="3" t="s">
        <v>50</v>
      </c>
    </row>
    <row r="117" spans="2:2" ht="21" x14ac:dyDescent="0.25">
      <c r="B117" s="4" t="s">
        <v>57</v>
      </c>
    </row>
    <row r="118" spans="2:2" ht="18" x14ac:dyDescent="0.25">
      <c r="B118" s="1"/>
    </row>
    <row r="119" spans="2:2" ht="21" x14ac:dyDescent="0.25">
      <c r="B119" s="2" t="s">
        <v>59</v>
      </c>
    </row>
    <row r="120" spans="2:2" ht="21" x14ac:dyDescent="0.25">
      <c r="B120" s="3" t="s">
        <v>60</v>
      </c>
    </row>
    <row r="121" spans="2:2" ht="21" x14ac:dyDescent="0.25">
      <c r="B121" s="4" t="s">
        <v>61</v>
      </c>
    </row>
    <row r="122" spans="2:2" ht="18" x14ac:dyDescent="0.25">
      <c r="B122" s="1"/>
    </row>
    <row r="123" spans="2:2" ht="21" x14ac:dyDescent="0.25">
      <c r="B123" s="2" t="s">
        <v>62</v>
      </c>
    </row>
    <row r="124" spans="2:2" ht="21" x14ac:dyDescent="0.25">
      <c r="B124" s="3" t="s">
        <v>1</v>
      </c>
    </row>
    <row r="125" spans="2:2" ht="21" x14ac:dyDescent="0.25">
      <c r="B125" s="4" t="s">
        <v>2</v>
      </c>
    </row>
    <row r="126" spans="2:2" ht="18" x14ac:dyDescent="0.25">
      <c r="B126" s="1"/>
    </row>
    <row r="127" spans="2:2" ht="21" x14ac:dyDescent="0.25">
      <c r="B127" s="2" t="s">
        <v>63</v>
      </c>
    </row>
    <row r="128" spans="2:2" ht="21" x14ac:dyDescent="0.25">
      <c r="B128" s="3" t="s">
        <v>1</v>
      </c>
    </row>
    <row r="129" spans="2:2" ht="21" x14ac:dyDescent="0.25">
      <c r="B129" s="4" t="s">
        <v>64</v>
      </c>
    </row>
    <row r="130" spans="2:2" ht="18" x14ac:dyDescent="0.25">
      <c r="B130" s="1"/>
    </row>
    <row r="131" spans="2:2" ht="21" x14ac:dyDescent="0.25">
      <c r="B131" s="2" t="s">
        <v>65</v>
      </c>
    </row>
    <row r="132" spans="2:2" ht="21" x14ac:dyDescent="0.25">
      <c r="B132" s="3" t="s">
        <v>1</v>
      </c>
    </row>
    <row r="133" spans="2:2" ht="21" x14ac:dyDescent="0.25">
      <c r="B133" s="4" t="s">
        <v>2</v>
      </c>
    </row>
    <row r="134" spans="2:2" ht="18" x14ac:dyDescent="0.25">
      <c r="B134" s="1"/>
    </row>
    <row r="135" spans="2:2" ht="21" x14ac:dyDescent="0.25">
      <c r="B135" s="2" t="s">
        <v>66</v>
      </c>
    </row>
    <row r="136" spans="2:2" ht="21" x14ac:dyDescent="0.25">
      <c r="B136" s="3" t="s">
        <v>1</v>
      </c>
    </row>
    <row r="137" spans="2:2" ht="21" x14ac:dyDescent="0.25">
      <c r="B137" s="4" t="s">
        <v>67</v>
      </c>
    </row>
    <row r="138" spans="2:2" ht="18" x14ac:dyDescent="0.25">
      <c r="B138" s="1"/>
    </row>
    <row r="139" spans="2:2" ht="21" x14ac:dyDescent="0.25">
      <c r="B139" s="2" t="s">
        <v>68</v>
      </c>
    </row>
    <row r="140" spans="2:2" ht="21" x14ac:dyDescent="0.25">
      <c r="B140" s="3" t="s">
        <v>1</v>
      </c>
    </row>
    <row r="141" spans="2:2" ht="21" x14ac:dyDescent="0.25">
      <c r="B141" s="4" t="s">
        <v>57</v>
      </c>
    </row>
    <row r="142" spans="2:2" ht="18" x14ac:dyDescent="0.25">
      <c r="B142" s="1"/>
    </row>
    <row r="143" spans="2:2" ht="21" x14ac:dyDescent="0.25">
      <c r="B143" s="2" t="s">
        <v>69</v>
      </c>
    </row>
    <row r="144" spans="2:2" ht="21" x14ac:dyDescent="0.25">
      <c r="B144" s="3" t="s">
        <v>1</v>
      </c>
    </row>
    <row r="145" spans="2:2" ht="21" x14ac:dyDescent="0.25">
      <c r="B145" s="4" t="s">
        <v>70</v>
      </c>
    </row>
    <row r="146" spans="2:2" ht="18" x14ac:dyDescent="0.25">
      <c r="B146" s="1"/>
    </row>
    <row r="147" spans="2:2" ht="21" x14ac:dyDescent="0.25">
      <c r="B147" s="2" t="s">
        <v>71</v>
      </c>
    </row>
    <row r="148" spans="2:2" ht="21" x14ac:dyDescent="0.25">
      <c r="B148" s="3" t="s">
        <v>72</v>
      </c>
    </row>
    <row r="149" spans="2:2" ht="21" x14ac:dyDescent="0.25">
      <c r="B149" s="4" t="s">
        <v>73</v>
      </c>
    </row>
    <row r="150" spans="2:2" ht="18" x14ac:dyDescent="0.25">
      <c r="B150" s="1"/>
    </row>
    <row r="151" spans="2:2" ht="21" x14ac:dyDescent="0.25">
      <c r="B151" s="2" t="s">
        <v>74</v>
      </c>
    </row>
    <row r="152" spans="2:2" ht="21" x14ac:dyDescent="0.25">
      <c r="B152" s="3" t="s">
        <v>1</v>
      </c>
    </row>
    <row r="153" spans="2:2" ht="21" x14ac:dyDescent="0.25">
      <c r="B153" s="4" t="s">
        <v>75</v>
      </c>
    </row>
    <row r="154" spans="2:2" ht="18" x14ac:dyDescent="0.25">
      <c r="B154" s="1"/>
    </row>
    <row r="155" spans="2:2" ht="21" x14ac:dyDescent="0.25">
      <c r="B155" s="2" t="s">
        <v>76</v>
      </c>
    </row>
    <row r="156" spans="2:2" ht="21" x14ac:dyDescent="0.25">
      <c r="B156" s="3" t="s">
        <v>1</v>
      </c>
    </row>
    <row r="157" spans="2:2" ht="21" x14ac:dyDescent="0.25">
      <c r="B157" s="4" t="s">
        <v>77</v>
      </c>
    </row>
    <row r="158" spans="2:2" ht="18" x14ac:dyDescent="0.25">
      <c r="B158" s="1"/>
    </row>
    <row r="159" spans="2:2" ht="21" x14ac:dyDescent="0.25">
      <c r="B159" s="2" t="s">
        <v>78</v>
      </c>
    </row>
    <row r="160" spans="2:2" ht="21" x14ac:dyDescent="0.25">
      <c r="B160" s="3" t="s">
        <v>50</v>
      </c>
    </row>
    <row r="161" spans="2:2" ht="21" x14ac:dyDescent="0.25">
      <c r="B161" s="4" t="s">
        <v>79</v>
      </c>
    </row>
    <row r="162" spans="2:2" ht="18" x14ac:dyDescent="0.25">
      <c r="B162" s="1"/>
    </row>
    <row r="163" spans="2:2" ht="21" x14ac:dyDescent="0.25">
      <c r="B163" s="2" t="s">
        <v>80</v>
      </c>
    </row>
    <row r="164" spans="2:2" ht="21" x14ac:dyDescent="0.25">
      <c r="B164" s="3" t="s">
        <v>72</v>
      </c>
    </row>
    <row r="165" spans="2:2" ht="21" x14ac:dyDescent="0.25">
      <c r="B165" s="4" t="s">
        <v>64</v>
      </c>
    </row>
    <row r="166" spans="2:2" ht="18" x14ac:dyDescent="0.25">
      <c r="B166" s="1"/>
    </row>
    <row r="167" spans="2:2" ht="21" x14ac:dyDescent="0.25">
      <c r="B167" s="2" t="s">
        <v>81</v>
      </c>
    </row>
    <row r="168" spans="2:2" ht="21" x14ac:dyDescent="0.25">
      <c r="B168" s="3" t="s">
        <v>1</v>
      </c>
    </row>
    <row r="169" spans="2:2" ht="21" x14ac:dyDescent="0.25">
      <c r="B169" s="4" t="s">
        <v>10</v>
      </c>
    </row>
    <row r="170" spans="2:2" ht="18" x14ac:dyDescent="0.25">
      <c r="B170" s="1"/>
    </row>
    <row r="171" spans="2:2" ht="21" x14ac:dyDescent="0.25">
      <c r="B171" s="2" t="s">
        <v>82</v>
      </c>
    </row>
    <row r="172" spans="2:2" ht="21" x14ac:dyDescent="0.25">
      <c r="B172" s="3" t="s">
        <v>72</v>
      </c>
    </row>
    <row r="173" spans="2:2" ht="21" x14ac:dyDescent="0.25">
      <c r="B173" s="4" t="s">
        <v>83</v>
      </c>
    </row>
    <row r="174" spans="2:2" ht="18" x14ac:dyDescent="0.25">
      <c r="B174" s="1"/>
    </row>
    <row r="175" spans="2:2" ht="21" x14ac:dyDescent="0.25">
      <c r="B175" s="2" t="s">
        <v>84</v>
      </c>
    </row>
    <row r="176" spans="2:2" ht="21" x14ac:dyDescent="0.25">
      <c r="B176" s="3" t="s">
        <v>1</v>
      </c>
    </row>
    <row r="177" spans="2:2" ht="21" x14ac:dyDescent="0.25">
      <c r="B177" s="4" t="s">
        <v>85</v>
      </c>
    </row>
    <row r="178" spans="2:2" ht="18" x14ac:dyDescent="0.25">
      <c r="B178" s="1"/>
    </row>
    <row r="179" spans="2:2" ht="21" x14ac:dyDescent="0.25">
      <c r="B179" s="2" t="s">
        <v>86</v>
      </c>
    </row>
    <row r="180" spans="2:2" ht="21" x14ac:dyDescent="0.25">
      <c r="B180" s="3" t="s">
        <v>87</v>
      </c>
    </row>
    <row r="181" spans="2:2" ht="21" x14ac:dyDescent="0.25">
      <c r="B181" s="4" t="s">
        <v>88</v>
      </c>
    </row>
    <row r="182" spans="2:2" ht="18" x14ac:dyDescent="0.25">
      <c r="B182" s="1"/>
    </row>
    <row r="183" spans="2:2" ht="21" x14ac:dyDescent="0.25">
      <c r="B183" s="2" t="s">
        <v>89</v>
      </c>
    </row>
    <row r="184" spans="2:2" ht="21" x14ac:dyDescent="0.25">
      <c r="B184" s="3" t="s">
        <v>1</v>
      </c>
    </row>
    <row r="185" spans="2:2" ht="21" x14ac:dyDescent="0.25">
      <c r="B185" s="4" t="s">
        <v>90</v>
      </c>
    </row>
    <row r="186" spans="2:2" ht="18" x14ac:dyDescent="0.25">
      <c r="B186" s="1"/>
    </row>
    <row r="187" spans="2:2" ht="21" x14ac:dyDescent="0.25">
      <c r="B187" s="2" t="s">
        <v>91</v>
      </c>
    </row>
    <row r="188" spans="2:2" ht="21" x14ac:dyDescent="0.25">
      <c r="B188" s="3" t="s">
        <v>1</v>
      </c>
    </row>
    <row r="189" spans="2:2" ht="21" x14ac:dyDescent="0.25">
      <c r="B189" s="4" t="s">
        <v>12</v>
      </c>
    </row>
    <row r="190" spans="2:2" ht="18" x14ac:dyDescent="0.25">
      <c r="B190" s="1"/>
    </row>
    <row r="191" spans="2:2" ht="21" x14ac:dyDescent="0.25">
      <c r="B191" s="2" t="s">
        <v>92</v>
      </c>
    </row>
    <row r="192" spans="2:2" ht="21" x14ac:dyDescent="0.25">
      <c r="B192" s="3" t="s">
        <v>1</v>
      </c>
    </row>
    <row r="193" spans="2:2" ht="21" x14ac:dyDescent="0.25">
      <c r="B193" s="4" t="s">
        <v>12</v>
      </c>
    </row>
    <row r="194" spans="2:2" ht="18" x14ac:dyDescent="0.25">
      <c r="B194" s="1"/>
    </row>
    <row r="195" spans="2:2" ht="21" x14ac:dyDescent="0.25">
      <c r="B195" s="2" t="s">
        <v>93</v>
      </c>
    </row>
    <row r="196" spans="2:2" ht="21" x14ac:dyDescent="0.25">
      <c r="B196" s="3" t="s">
        <v>50</v>
      </c>
    </row>
    <row r="197" spans="2:2" ht="21" x14ac:dyDescent="0.25">
      <c r="B197" s="4" t="s">
        <v>94</v>
      </c>
    </row>
    <row r="198" spans="2:2" ht="18" x14ac:dyDescent="0.25">
      <c r="B198" s="1"/>
    </row>
    <row r="199" spans="2:2" ht="21" x14ac:dyDescent="0.25">
      <c r="B199" s="2" t="s">
        <v>95</v>
      </c>
    </row>
    <row r="200" spans="2:2" ht="21" x14ac:dyDescent="0.25">
      <c r="B200" s="3" t="s">
        <v>50</v>
      </c>
    </row>
    <row r="201" spans="2:2" ht="21" x14ac:dyDescent="0.25">
      <c r="B201" s="4" t="s">
        <v>57</v>
      </c>
    </row>
    <row r="202" spans="2:2" ht="18" x14ac:dyDescent="0.25">
      <c r="B202" s="1"/>
    </row>
    <row r="203" spans="2:2" ht="21" x14ac:dyDescent="0.25">
      <c r="B203" s="2" t="s">
        <v>96</v>
      </c>
    </row>
    <row r="204" spans="2:2" ht="21" x14ac:dyDescent="0.25">
      <c r="B204" s="3" t="s">
        <v>50</v>
      </c>
    </row>
    <row r="205" spans="2:2" ht="21" x14ac:dyDescent="0.25">
      <c r="B205" s="4" t="s">
        <v>97</v>
      </c>
    </row>
    <row r="206" spans="2:2" ht="18" x14ac:dyDescent="0.25">
      <c r="B206" s="1"/>
    </row>
    <row r="207" spans="2:2" ht="21" x14ac:dyDescent="0.25">
      <c r="B207" s="2" t="s">
        <v>98</v>
      </c>
    </row>
    <row r="208" spans="2:2" ht="21" x14ac:dyDescent="0.25">
      <c r="B208" s="3" t="s">
        <v>1</v>
      </c>
    </row>
    <row r="209" spans="2:2" ht="21" x14ac:dyDescent="0.25">
      <c r="B209" s="4" t="s">
        <v>41</v>
      </c>
    </row>
    <row r="210" spans="2:2" ht="18.75" thickBot="1" x14ac:dyDescent="0.3">
      <c r="B210" s="5"/>
    </row>
    <row r="211" spans="2:2" ht="21" x14ac:dyDescent="0.25">
      <c r="B211" s="2" t="s">
        <v>99</v>
      </c>
    </row>
    <row r="212" spans="2:2" ht="21" x14ac:dyDescent="0.25">
      <c r="B212" s="3" t="s">
        <v>50</v>
      </c>
    </row>
    <row r="213" spans="2:2" ht="21" x14ac:dyDescent="0.25">
      <c r="B213" s="4" t="s"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39CD-1E3F-48E2-819C-DCA4E992D459}">
  <dimension ref="B4:F33"/>
  <sheetViews>
    <sheetView workbookViewId="0">
      <selection activeCell="C14" sqref="C14"/>
    </sheetView>
  </sheetViews>
  <sheetFormatPr baseColWidth="10" defaultRowHeight="15" x14ac:dyDescent="0.25"/>
  <cols>
    <col min="2" max="2" width="15.42578125" bestFit="1" customWidth="1"/>
    <col min="5" max="5" width="48.140625" bestFit="1" customWidth="1"/>
  </cols>
  <sheetData>
    <row r="4" spans="2:6" x14ac:dyDescent="0.25">
      <c r="B4" t="s">
        <v>100</v>
      </c>
    </row>
    <row r="6" spans="2:6" x14ac:dyDescent="0.25">
      <c r="B6" t="s">
        <v>101</v>
      </c>
      <c r="C6">
        <v>2500</v>
      </c>
    </row>
    <row r="7" spans="2:6" x14ac:dyDescent="0.25">
      <c r="B7" t="s">
        <v>102</v>
      </c>
      <c r="C7">
        <v>250</v>
      </c>
    </row>
    <row r="8" spans="2:6" x14ac:dyDescent="0.25">
      <c r="B8" t="s">
        <v>103</v>
      </c>
      <c r="C8">
        <v>100</v>
      </c>
    </row>
    <row r="9" spans="2:6" x14ac:dyDescent="0.25">
      <c r="B9" t="s">
        <v>104</v>
      </c>
      <c r="C9">
        <v>500</v>
      </c>
    </row>
    <row r="10" spans="2:6" x14ac:dyDescent="0.25">
      <c r="E10" s="11" t="s">
        <v>105</v>
      </c>
      <c r="F10" s="11"/>
    </row>
    <row r="11" spans="2:6" x14ac:dyDescent="0.25">
      <c r="E11" t="s">
        <v>108</v>
      </c>
    </row>
    <row r="13" spans="2:6" x14ac:dyDescent="0.25">
      <c r="B13" t="s">
        <v>120</v>
      </c>
      <c r="C13">
        <f>+F31-F33-F27-F18</f>
        <v>2629.75</v>
      </c>
      <c r="E13" t="s">
        <v>109</v>
      </c>
      <c r="F13">
        <f>+C6+C7+C8</f>
        <v>2850</v>
      </c>
    </row>
    <row r="14" spans="2:6" x14ac:dyDescent="0.25">
      <c r="E14" t="s">
        <v>110</v>
      </c>
      <c r="F14">
        <v>0</v>
      </c>
    </row>
    <row r="15" spans="2:6" x14ac:dyDescent="0.25">
      <c r="E15" s="6" t="s">
        <v>111</v>
      </c>
      <c r="F15" s="6">
        <f>+C9</f>
        <v>500</v>
      </c>
    </row>
    <row r="16" spans="2:6" x14ac:dyDescent="0.25">
      <c r="E16" t="s">
        <v>112</v>
      </c>
      <c r="F16">
        <f>+F15+F14+F13</f>
        <v>3350</v>
      </c>
    </row>
    <row r="17" spans="5:6" x14ac:dyDescent="0.25">
      <c r="E17" t="s">
        <v>113</v>
      </c>
    </row>
    <row r="18" spans="5:6" x14ac:dyDescent="0.25">
      <c r="E18" s="7">
        <v>4.8500000000000001E-2</v>
      </c>
      <c r="F18">
        <f>+F16*E18</f>
        <v>162.47499999999999</v>
      </c>
    </row>
    <row r="20" spans="5:6" x14ac:dyDescent="0.25">
      <c r="E20" s="11" t="s">
        <v>107</v>
      </c>
      <c r="F20" s="11"/>
    </row>
    <row r="21" spans="5:6" x14ac:dyDescent="0.25">
      <c r="E21" t="s">
        <v>114</v>
      </c>
    </row>
    <row r="23" spans="5:6" x14ac:dyDescent="0.25">
      <c r="E23" t="s">
        <v>115</v>
      </c>
      <c r="F23">
        <v>3350</v>
      </c>
    </row>
    <row r="24" spans="5:6" x14ac:dyDescent="0.25">
      <c r="E24" s="6" t="s">
        <v>116</v>
      </c>
      <c r="F24" s="6">
        <v>0</v>
      </c>
    </row>
    <row r="25" spans="5:6" x14ac:dyDescent="0.25">
      <c r="E25" t="s">
        <v>117</v>
      </c>
      <c r="F25">
        <f>SUM(F23:F24)</f>
        <v>3350</v>
      </c>
    </row>
    <row r="26" spans="5:6" x14ac:dyDescent="0.25">
      <c r="E26" t="s">
        <v>118</v>
      </c>
    </row>
    <row r="27" spans="5:6" x14ac:dyDescent="0.25">
      <c r="E27" s="7">
        <v>1.6500000000000001E-2</v>
      </c>
      <c r="F27">
        <f>+F25*E27</f>
        <v>55.275000000000006</v>
      </c>
    </row>
    <row r="29" spans="5:6" x14ac:dyDescent="0.25">
      <c r="E29" s="11" t="s">
        <v>106</v>
      </c>
      <c r="F29" s="11"/>
    </row>
    <row r="30" spans="5:6" x14ac:dyDescent="0.25">
      <c r="E30" t="s">
        <v>119</v>
      </c>
    </row>
    <row r="31" spans="5:6" x14ac:dyDescent="0.25">
      <c r="E31" t="s">
        <v>117</v>
      </c>
      <c r="F31">
        <v>3350</v>
      </c>
    </row>
    <row r="33" spans="5:6" x14ac:dyDescent="0.25">
      <c r="E33" s="8">
        <v>0.15</v>
      </c>
      <c r="F33">
        <f>+F31*E33</f>
        <v>502.5</v>
      </c>
    </row>
  </sheetData>
  <mergeCells count="3">
    <mergeCell ref="E10:F10"/>
    <mergeCell ref="E20:F20"/>
    <mergeCell ref="E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Hoja2 (2)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Fdez</dc:creator>
  <cp:lastModifiedBy>Manuel Fernández</cp:lastModifiedBy>
  <dcterms:created xsi:type="dcterms:W3CDTF">2026-02-22T13:27:18Z</dcterms:created>
  <dcterms:modified xsi:type="dcterms:W3CDTF">2026-03-03T10:26:54Z</dcterms:modified>
</cp:coreProperties>
</file>